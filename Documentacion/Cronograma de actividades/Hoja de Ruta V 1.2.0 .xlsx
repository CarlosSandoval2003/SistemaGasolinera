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sofia\Documents\DECIMO SEMESTRE\aseguramiento de calidad\"/>
    </mc:Choice>
  </mc:AlternateContent>
  <xr:revisionPtr revIDLastSave="0" documentId="13_ncr:1_{87CFA0C8-4ADA-4D2A-80C2-0781D99826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de Ruta" sheetId="1" r:id="rId1"/>
    <sheet name="Gráfico de Gantt" sheetId="2" r:id="rId2"/>
    <sheet name="Spri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+bXvc3GzvXnDfeh3DSlLzCEI4VlX7oiFEkNUuvNto7g="/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H27" i="1"/>
  <c r="H26" i="1"/>
  <c r="H24" i="1"/>
  <c r="H23" i="1"/>
  <c r="H22" i="1"/>
  <c r="H21" i="1"/>
  <c r="H20" i="1"/>
  <c r="H19" i="1"/>
  <c r="H18" i="1"/>
  <c r="G17" i="1"/>
  <c r="H17" i="1" s="1"/>
  <c r="H15" i="1"/>
  <c r="H14" i="1"/>
  <c r="H13" i="1"/>
  <c r="G12" i="1"/>
  <c r="H12" i="1" s="1"/>
  <c r="H10" i="1"/>
  <c r="H9" i="1"/>
  <c r="H8" i="1"/>
  <c r="H7" i="1"/>
  <c r="G6" i="1"/>
  <c r="G5" i="1" l="1"/>
  <c r="H5" i="1" s="1"/>
  <c r="H6" i="1"/>
</calcChain>
</file>

<file path=xl/sharedStrings.xml><?xml version="1.0" encoding="utf-8"?>
<sst xmlns="http://schemas.openxmlformats.org/spreadsheetml/2006/main" count="195" uniqueCount="94">
  <si>
    <t xml:space="preserve">HOJA DE RUTA  </t>
  </si>
  <si>
    <t>V 1.2.0</t>
  </si>
  <si>
    <t>No.</t>
  </si>
  <si>
    <t>Nombre</t>
  </si>
  <si>
    <t>Fecha Inicio</t>
  </si>
  <si>
    <t>fecha Terminado</t>
  </si>
  <si>
    <t>Encargado</t>
  </si>
  <si>
    <t>Porcentaje Completado</t>
  </si>
  <si>
    <t>Completo</t>
  </si>
  <si>
    <t>PROYECTO SISTEMA DE GASOLINERA</t>
  </si>
  <si>
    <t>FASE 1: INICIO Y PLANEACIÓN DEL PROYECTO</t>
  </si>
  <si>
    <t>Estudiante</t>
  </si>
  <si>
    <t>Rol</t>
  </si>
  <si>
    <t>Reunión con stakeholders</t>
  </si>
  <si>
    <t>Product Owner</t>
  </si>
  <si>
    <t>Karla Sofía Gómez Tobar  9941-21-1896</t>
  </si>
  <si>
    <t>Scrum Master</t>
  </si>
  <si>
    <t>Acta de Constitución del Proyecto</t>
  </si>
  <si>
    <t>Scrum Master, Product Owner</t>
  </si>
  <si>
    <t>Alyson Vannesa Rodríguez Quezada   9941-21-829</t>
  </si>
  <si>
    <t>DERCAS (Recolección de Requisitos)</t>
  </si>
  <si>
    <t>Carlos Javier Sandoval Catalán  9941-21-1324</t>
  </si>
  <si>
    <t>Analista de Desarrollo</t>
  </si>
  <si>
    <t>Documentación de procesos del negocio (BPMN)</t>
  </si>
  <si>
    <t>Equipo Scrum</t>
  </si>
  <si>
    <t>María José Véliz Ochoa  9941-21-5909</t>
  </si>
  <si>
    <t>Analista de Aseguramiento de Calidad</t>
  </si>
  <si>
    <t>HITO: Fin de Fase No.1</t>
  </si>
  <si>
    <t>Nelson Josué Pineda Culajay   9941-21-10015</t>
  </si>
  <si>
    <t>Analista de Proyectos</t>
  </si>
  <si>
    <t>FASE No. 2: ANALISIS Y DISEÑO DEL PROYECTO</t>
  </si>
  <si>
    <t>Elaboración de Casos de Uso primera versión</t>
  </si>
  <si>
    <t>Analista de Proyectos, Product Owner</t>
  </si>
  <si>
    <t>Ajustes a Casos de Uso</t>
  </si>
  <si>
    <t>Aceptación de Casos de Uso</t>
  </si>
  <si>
    <t>HITO: Fin de Fase No.2</t>
  </si>
  <si>
    <t xml:space="preserve">FASE No. 3: DESARROLLO Y PRUEBAS </t>
  </si>
  <si>
    <t>Desarrollo Base (Sprint 1)</t>
  </si>
  <si>
    <t>Desarrollo y Pruebas Unitarias (Sprint 2)</t>
  </si>
  <si>
    <t>Desarrollo y Pruebas Funcionales (Sprint 3)</t>
  </si>
  <si>
    <t>Pruebas no Funcionales y de Seguridad (Sprint 4)</t>
  </si>
  <si>
    <t xml:space="preserve"> Analista de desarrollo, Analista de Aseguramiento de Calidad</t>
  </si>
  <si>
    <t>Ajustes al Sistema y Pruebas de Seguridad (Sprint 5)</t>
  </si>
  <si>
    <t>Pruebas de aceptacion (Sprint 6)</t>
  </si>
  <si>
    <t>Desarrollar las Lecciones Aprendidas</t>
  </si>
  <si>
    <t>HITO: Fin de Fase No.3</t>
  </si>
  <si>
    <t>FASE No. 4: IMPLEMENTACIÓN DEL PROYECTO</t>
  </si>
  <si>
    <t>Impelmentacion en ambiente de producción</t>
  </si>
  <si>
    <t>HITO: Fin de Fase No.4</t>
  </si>
  <si>
    <t>Sprint 1</t>
  </si>
  <si>
    <t>REQUERIMIENTO</t>
  </si>
  <si>
    <t>TAREA</t>
  </si>
  <si>
    <t>RESPONSABLE</t>
  </si>
  <si>
    <t>TIEMPO ESTIMADO (DIAS)</t>
  </si>
  <si>
    <t>ESTADO</t>
  </si>
  <si>
    <t>Desarrollo Base</t>
  </si>
  <si>
    <t>Crear estructura de base de datos relacional (entidades: usuarios, perfiles, tipos de combustible, contenedores, etc.)</t>
  </si>
  <si>
    <t>DEVELOPER</t>
  </si>
  <si>
    <t>Definir arquitectura del sistema (MVC, conexión a base de datos, backend y frontend).</t>
  </si>
  <si>
    <t>Configurar entorno de desarrollo.</t>
  </si>
  <si>
    <t>Desarrollo inicial de pantallas de login y dashboard.</t>
  </si>
  <si>
    <t>Desarrollo de módulo de mantenimiento de usuarios y perfiles.</t>
  </si>
  <si>
    <t>Sprint 2</t>
  </si>
  <si>
    <t>Desarrollo y Pruebas Unitarias</t>
  </si>
  <si>
    <t>Registro de clientes y proveedores.
Registro de personal y puestos.
Registro de tipos de combustible y contenedores.</t>
  </si>
  <si>
    <t>Implementar validaciones básicas.</t>
  </si>
  <si>
    <t>Pruebas unitarias de los formularios desarrollados.</t>
  </si>
  <si>
    <t>Documentación técnica básica de código fuente.</t>
  </si>
  <si>
    <t>Sprint 3</t>
  </si>
  <si>
    <t>Desarrollo y Pruebas Funcionales</t>
  </si>
  <si>
    <t>Desarrollo de módulo de pedidos y ventas (kardex).</t>
  </si>
  <si>
    <t>Desarrollo de módulo de suministro y distribución.</t>
  </si>
  <si>
    <t>Integración de los módulos anteriores.</t>
  </si>
  <si>
    <t>Pruebas funcionales completas: validación de flujos, botones, navegación, datos, errores.</t>
  </si>
  <si>
    <t>Sprint 4</t>
  </si>
  <si>
    <t>Pruebas No Funcionales y de Seguridad</t>
  </si>
  <si>
    <t>Evaluación de rendimiento del sistema (tiempos de respuesta).</t>
  </si>
  <si>
    <t>Pruebas de carga (usuarios concurrentes simulados).</t>
  </si>
  <si>
    <t>Revisión de seguridad básica: contraseñas, sesiones, accesos.</t>
  </si>
  <si>
    <t>Revisión de cumplimiento de requerimientos no funcionales: usabilidad, tiempos, seguridad.</t>
  </si>
  <si>
    <t>Sprint 5</t>
  </si>
  <si>
    <t>Ajustes al Sistema y Pruebas de Seguridad</t>
  </si>
  <si>
    <t>Corrección de errores detectados en sprints anteriores.</t>
  </si>
  <si>
    <t>Ajustes de interfaz (feedback de pruebas).</t>
  </si>
  <si>
    <t>Pruebas de seguridad más profundas (SQL injection, XSS, etc.).</t>
  </si>
  <si>
    <t>Generación de manual técnico y guía de usuario.</t>
  </si>
  <si>
    <t>Sprint 6</t>
  </si>
  <si>
    <t>Pruebas de Aceptación</t>
  </si>
  <si>
    <t>Preparación de ambiente de pruebas con datos simulados.</t>
  </si>
  <si>
    <t>Ejecución de pruebas de aceptación por parte del Product Owner.</t>
  </si>
  <si>
    <t>Revisión de cumplimiento de requerimientos clave.</t>
  </si>
  <si>
    <t>Ajustes finales menores según feedback.</t>
  </si>
  <si>
    <t>Preparación de presentación final del proyecto.</t>
  </si>
  <si>
    <t>COMPLETADA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</si>
</sst>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FFFFFF"/>
      <name val="Calibri"/>
      <family val="2"/>
    </font>
    <font>
      <b/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CECEC"/>
        <bgColor rgb="FFECECEC"/>
      </patternFill>
    </fill>
    <fill>
      <patternFill patternType="solid">
        <fgColor rgb="FF222A35"/>
        <bgColor rgb="FF222A35"/>
      </patternFill>
    </fill>
    <fill>
      <patternFill patternType="solid">
        <fgColor rgb="FF5A636A"/>
        <bgColor rgb="FF5A636A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8" xfId="0" applyFont="1" applyFill="1" applyBorder="1"/>
    <xf numFmtId="164" fontId="2" fillId="3" borderId="9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 wrapText="1"/>
    </xf>
    <xf numFmtId="9" fontId="2" fillId="3" borderId="9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left"/>
    </xf>
    <xf numFmtId="164" fontId="2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2" fillId="2" borderId="12" xfId="0" applyFont="1" applyFill="1" applyBorder="1" applyAlignment="1">
      <alignment horizontal="center"/>
    </xf>
    <xf numFmtId="0" fontId="1" fillId="0" borderId="4" xfId="0" applyFont="1" applyBorder="1"/>
    <xf numFmtId="16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2" fontId="5" fillId="0" borderId="0" xfId="0" applyNumberFormat="1" applyFont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8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9">
    <dxf>
      <font>
        <b/>
        <color rgb="FF548135"/>
      </font>
      <fill>
        <patternFill patternType="none"/>
      </fill>
    </dxf>
    <dxf>
      <font>
        <b/>
        <color rgb="FFC55A11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C55A11"/>
      </font>
      <fill>
        <patternFill patternType="none"/>
      </fill>
    </dxf>
    <dxf>
      <font>
        <b/>
        <color rgb="FF548135"/>
      </font>
      <fill>
        <patternFill patternType="none"/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Hoja de Ruta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GT" sz="1400" b="0" i="0">
                <a:solidFill>
                  <a:srgbClr val="757575"/>
                </a:solidFill>
                <a:latin typeface="+mn-lt"/>
              </a:rPr>
              <a:t>Driagrama de Gantt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'Gráfico de Gantt'!$A$1:$A$15</c:f>
              <c:strCache>
                <c:ptCount val="15"/>
                <c:pt idx="0">
                  <c:v>Reunión con stakeholders</c:v>
                </c:pt>
                <c:pt idx="1">
                  <c:v>Acta de Constitución del Proyecto</c:v>
                </c:pt>
                <c:pt idx="2">
                  <c:v>DERCAS (Recolección de Requisitos)</c:v>
                </c:pt>
                <c:pt idx="3">
                  <c:v>Documentación de procesos del negocio (BPMN)</c:v>
                </c:pt>
                <c:pt idx="4">
                  <c:v>Elaboración de Casos de Uso primera versión</c:v>
                </c:pt>
                <c:pt idx="5">
                  <c:v>Ajustes a Casos de Uso</c:v>
                </c:pt>
                <c:pt idx="6">
                  <c:v>Aceptación de Casos de Uso</c:v>
                </c:pt>
                <c:pt idx="7">
                  <c:v>Desarrollo Base (Sprint 1)</c:v>
                </c:pt>
                <c:pt idx="8">
                  <c:v>Desarrollo y Pruebas Unitarias (Sprint 2)</c:v>
                </c:pt>
                <c:pt idx="9">
                  <c:v>Desarrollo y Pruebas Funcionales (Sprint 3)</c:v>
                </c:pt>
                <c:pt idx="10">
                  <c:v>Pruebas no Funcionales y de Seguridad (Sprint 4)</c:v>
                </c:pt>
                <c:pt idx="11">
                  <c:v>Ajustes al Sistema y Pruebas de Seguridad (Sprint 5)</c:v>
                </c:pt>
                <c:pt idx="12">
                  <c:v>Pruebas de aceptacion (Sprint 6)</c:v>
                </c:pt>
                <c:pt idx="13">
                  <c:v>Desarrollar las Lecciones Aprendidas</c:v>
                </c:pt>
                <c:pt idx="14">
                  <c:v>Impelmentacion en ambiente de producción</c:v>
                </c:pt>
              </c:strCache>
            </c:strRef>
          </c:cat>
          <c:val>
            <c:numRef>
              <c:f>'Gráfico de Gantt'!$B$1:$B$15</c:f>
              <c:numCache>
                <c:formatCode>d/m/yyyy</c:formatCode>
                <c:ptCount val="15"/>
                <c:pt idx="0">
                  <c:v>45874</c:v>
                </c:pt>
                <c:pt idx="1">
                  <c:v>45874</c:v>
                </c:pt>
                <c:pt idx="2">
                  <c:v>45876</c:v>
                </c:pt>
                <c:pt idx="3">
                  <c:v>45882</c:v>
                </c:pt>
                <c:pt idx="4">
                  <c:v>45887</c:v>
                </c:pt>
                <c:pt idx="5">
                  <c:v>45892</c:v>
                </c:pt>
                <c:pt idx="6">
                  <c:v>45896</c:v>
                </c:pt>
                <c:pt idx="7">
                  <c:v>45901</c:v>
                </c:pt>
                <c:pt idx="8">
                  <c:v>45915</c:v>
                </c:pt>
                <c:pt idx="9">
                  <c:v>45929</c:v>
                </c:pt>
                <c:pt idx="10">
                  <c:v>45943</c:v>
                </c:pt>
                <c:pt idx="11">
                  <c:v>45951</c:v>
                </c:pt>
                <c:pt idx="12">
                  <c:v>45950</c:v>
                </c:pt>
                <c:pt idx="13">
                  <c:v>45950</c:v>
                </c:pt>
                <c:pt idx="14">
                  <c:v>45956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56-4E16-B7A8-96433BAF9B16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0D1F2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E556-4E16-B7A8-96433BAF9B16}"/>
              </c:ext>
            </c:extLst>
          </c:dPt>
          <c:dPt>
            <c:idx val="2"/>
            <c:invertIfNegative val="1"/>
            <c:bubble3D val="0"/>
            <c:spPr>
              <a:solidFill>
                <a:srgbClr val="132E3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556-4E16-B7A8-96433BAF9B16}"/>
              </c:ext>
            </c:extLst>
          </c:dPt>
          <c:dPt>
            <c:idx val="3"/>
            <c:invertIfNegative val="1"/>
            <c:bubble3D val="0"/>
            <c:spPr>
              <a:solidFill>
                <a:srgbClr val="2D4A5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E556-4E16-B7A8-96433BAF9B16}"/>
              </c:ext>
            </c:extLst>
          </c:dPt>
          <c:dPt>
            <c:idx val="4"/>
            <c:invertIfNegative val="1"/>
            <c:bubble3D val="0"/>
            <c:spPr>
              <a:solidFill>
                <a:srgbClr val="69818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E556-4E16-B7A8-96433BAF9B16}"/>
              </c:ext>
            </c:extLst>
          </c:dPt>
          <c:dPt>
            <c:idx val="5"/>
            <c:invertIfNegative val="1"/>
            <c:bubble3D val="0"/>
            <c:spPr>
              <a:solidFill>
                <a:srgbClr val="AFB3B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E556-4E16-B7A8-96433BAF9B16}"/>
              </c:ext>
            </c:extLst>
          </c:dPt>
          <c:dPt>
            <c:idx val="6"/>
            <c:invertIfNegative val="1"/>
            <c:bubble3D val="0"/>
            <c:spPr>
              <a:solidFill>
                <a:srgbClr val="5A636A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E556-4E16-B7A8-96433BAF9B16}"/>
              </c:ext>
            </c:extLst>
          </c:dPt>
          <c:dPt>
            <c:idx val="7"/>
            <c:invertIfNegative val="1"/>
            <c:bubble3D val="0"/>
            <c:spPr>
              <a:solidFill>
                <a:srgbClr val="0D1F2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E556-4E16-B7A8-96433BAF9B16}"/>
              </c:ext>
            </c:extLst>
          </c:dPt>
          <c:dPt>
            <c:idx val="8"/>
            <c:invertIfNegative val="1"/>
            <c:bubble3D val="0"/>
            <c:spPr>
              <a:solidFill>
                <a:srgbClr val="132E3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E556-4E16-B7A8-96433BAF9B16}"/>
              </c:ext>
            </c:extLst>
          </c:dPt>
          <c:dPt>
            <c:idx val="9"/>
            <c:invertIfNegative val="1"/>
            <c:bubble3D val="0"/>
            <c:spPr>
              <a:solidFill>
                <a:srgbClr val="2D4A5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E556-4E16-B7A8-96433BAF9B16}"/>
              </c:ext>
            </c:extLst>
          </c:dPt>
          <c:dPt>
            <c:idx val="10"/>
            <c:invertIfNegative val="1"/>
            <c:bubble3D val="0"/>
            <c:spPr>
              <a:solidFill>
                <a:srgbClr val="69818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E556-4E16-B7A8-96433BAF9B16}"/>
              </c:ext>
            </c:extLst>
          </c:dPt>
          <c:dPt>
            <c:idx val="11"/>
            <c:invertIfNegative val="1"/>
            <c:bubble3D val="0"/>
            <c:spPr>
              <a:solidFill>
                <a:srgbClr val="AFB3B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E556-4E16-B7A8-96433BAF9B16}"/>
              </c:ext>
            </c:extLst>
          </c:dPt>
          <c:dPt>
            <c:idx val="12"/>
            <c:invertIfNegative val="1"/>
            <c:bubble3D val="0"/>
            <c:spPr>
              <a:solidFill>
                <a:srgbClr val="5A636A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E556-4E16-B7A8-96433BAF9B16}"/>
              </c:ext>
            </c:extLst>
          </c:dPt>
          <c:dPt>
            <c:idx val="13"/>
            <c:invertIfNegative val="1"/>
            <c:bubble3D val="0"/>
            <c:spPr>
              <a:solidFill>
                <a:srgbClr val="0D1F2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E556-4E16-B7A8-96433BAF9B16}"/>
              </c:ext>
            </c:extLst>
          </c:dPt>
          <c:cat>
            <c:strRef>
              <c:f>'Gráfico de Gantt'!$A$1:$A$15</c:f>
              <c:strCache>
                <c:ptCount val="15"/>
                <c:pt idx="0">
                  <c:v>Reunión con stakeholders</c:v>
                </c:pt>
                <c:pt idx="1">
                  <c:v>Acta de Constitución del Proyecto</c:v>
                </c:pt>
                <c:pt idx="2">
                  <c:v>DERCAS (Recolección de Requisitos)</c:v>
                </c:pt>
                <c:pt idx="3">
                  <c:v>Documentación de procesos del negocio (BPMN)</c:v>
                </c:pt>
                <c:pt idx="4">
                  <c:v>Elaboración de Casos de Uso primera versión</c:v>
                </c:pt>
                <c:pt idx="5">
                  <c:v>Ajustes a Casos de Uso</c:v>
                </c:pt>
                <c:pt idx="6">
                  <c:v>Aceptación de Casos de Uso</c:v>
                </c:pt>
                <c:pt idx="7">
                  <c:v>Desarrollo Base (Sprint 1)</c:v>
                </c:pt>
                <c:pt idx="8">
                  <c:v>Desarrollo y Pruebas Unitarias (Sprint 2)</c:v>
                </c:pt>
                <c:pt idx="9">
                  <c:v>Desarrollo y Pruebas Funcionales (Sprint 3)</c:v>
                </c:pt>
                <c:pt idx="10">
                  <c:v>Pruebas no Funcionales y de Seguridad (Sprint 4)</c:v>
                </c:pt>
                <c:pt idx="11">
                  <c:v>Ajustes al Sistema y Pruebas de Seguridad (Sprint 5)</c:v>
                </c:pt>
                <c:pt idx="12">
                  <c:v>Pruebas de aceptacion (Sprint 6)</c:v>
                </c:pt>
                <c:pt idx="13">
                  <c:v>Desarrollar las Lecciones Aprendidas</c:v>
                </c:pt>
                <c:pt idx="14">
                  <c:v>Impelmentacion en ambiente de producción</c:v>
                </c:pt>
              </c:strCache>
            </c:strRef>
          </c:cat>
          <c:val>
            <c:numRef>
              <c:f>'Gráfico de Gantt'!$C$1:$C$15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E556-4E16-B7A8-96433BAF9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326532"/>
        <c:axId val="1737497496"/>
      </c:barChart>
      <c:catAx>
        <c:axId val="237326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G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1737497496"/>
        <c:crosses val="autoZero"/>
        <c:auto val="1"/>
        <c:lblAlgn val="ctr"/>
        <c:lblOffset val="100"/>
        <c:noMultiLvlLbl val="1"/>
      </c:catAx>
      <c:valAx>
        <c:axId val="1737497496"/>
        <c:scaling>
          <c:orientation val="minMax"/>
          <c:max val="45958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GT"/>
              </a:p>
            </c:rich>
          </c:tx>
          <c:overlay val="0"/>
        </c:title>
        <c:numFmt formatCode="d/mm/yy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237326532"/>
        <c:crosses val="max"/>
        <c:crossBetween val="between"/>
        <c:majorUnit val="8"/>
      </c:valAx>
    </c:plotArea>
    <c:plotVisOnly val="1"/>
    <c:dispBlanksAs val="zero"/>
    <c:showDLblsOverMax val="1"/>
  </c:chart>
  <c:spPr>
    <a:solidFill>
      <a:srgbClr val="F5F5F5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123825</xdr:rowOff>
    </xdr:from>
    <xdr:ext cx="12115800" cy="4000500"/>
    <xdr:graphicFrame macro="">
      <xdr:nvGraphicFramePr>
        <xdr:cNvPr id="1487337403" name="Chart 1">
          <a:extLst>
            <a:ext uri="{FF2B5EF4-FFF2-40B4-BE49-F238E27FC236}">
              <a16:creationId xmlns:a16="http://schemas.microsoft.com/office/drawing/2014/main" id="{00000000-0008-0000-0100-0000BBF7A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J6:K11">
  <tableColumns count="2">
    <tableColumn id="1" xr3:uid="{00000000-0010-0000-0000-000001000000}" name="Estudiante"/>
    <tableColumn id="2" xr3:uid="{00000000-0010-0000-0000-000002000000}" name="Rol"/>
  </tableColumns>
  <tableStyleInfo name="Hoja de Ru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99"/>
  <sheetViews>
    <sheetView showGridLines="0" tabSelected="1" workbookViewId="0">
      <selection activeCell="I4" sqref="I4"/>
    </sheetView>
  </sheetViews>
  <sheetFormatPr baseColWidth="10" defaultColWidth="14.42578125" defaultRowHeight="15" customHeight="1" x14ac:dyDescent="0.25"/>
  <cols>
    <col min="1" max="1" width="1.28515625" customWidth="1"/>
    <col min="2" max="2" width="4.28515625" customWidth="1"/>
    <col min="3" max="3" width="59.5703125" customWidth="1"/>
    <col min="4" max="4" width="12.7109375" customWidth="1"/>
    <col min="5" max="5" width="15.42578125" customWidth="1"/>
    <col min="6" max="6" width="26.42578125" customWidth="1"/>
    <col min="7" max="7" width="20.42578125" customWidth="1"/>
    <col min="8" max="8" width="15.140625" customWidth="1"/>
    <col min="9" max="9" width="10.7109375" customWidth="1"/>
    <col min="10" max="10" width="47.42578125" customWidth="1"/>
    <col min="11" max="11" width="34.5703125" customWidth="1"/>
    <col min="12" max="26" width="10.7109375" customWidth="1"/>
  </cols>
  <sheetData>
    <row r="1" spans="2:11" x14ac:dyDescent="0.25">
      <c r="F1" s="1"/>
    </row>
    <row r="2" spans="2:11" ht="15" customHeight="1" x14ac:dyDescent="0.25">
      <c r="F2" s="1"/>
    </row>
    <row r="3" spans="2:11" x14ac:dyDescent="0.25">
      <c r="B3" s="46" t="s">
        <v>0</v>
      </c>
      <c r="C3" s="47"/>
      <c r="D3" s="47"/>
      <c r="E3" s="47"/>
      <c r="F3" s="47"/>
      <c r="G3" s="47"/>
      <c r="H3" s="2" t="s">
        <v>1</v>
      </c>
    </row>
    <row r="4" spans="2:11" x14ac:dyDescent="0.25">
      <c r="B4" s="3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4" t="s">
        <v>7</v>
      </c>
      <c r="H4" s="6" t="s">
        <v>8</v>
      </c>
    </row>
    <row r="5" spans="2:11" x14ac:dyDescent="0.25">
      <c r="B5" s="7">
        <v>1</v>
      </c>
      <c r="C5" s="8" t="s">
        <v>9</v>
      </c>
      <c r="D5" s="9">
        <v>45874</v>
      </c>
      <c r="E5" s="9">
        <v>45956</v>
      </c>
      <c r="F5" s="10"/>
      <c r="G5" s="11">
        <f>AVERAGE(G6+G12+G17)/3</f>
        <v>1</v>
      </c>
      <c r="H5" s="12" t="str">
        <f t="shared" ref="H5:H10" si="0">IF(G5=0,"FALTANTE",IF(G5&lt;0.9,"PENDIENTE","COMPLETADA"))</f>
        <v>COMPLETADA</v>
      </c>
    </row>
    <row r="6" spans="2:11" x14ac:dyDescent="0.25">
      <c r="B6" s="13">
        <v>2</v>
      </c>
      <c r="C6" s="14" t="s">
        <v>10</v>
      </c>
      <c r="D6" s="15">
        <v>45874</v>
      </c>
      <c r="E6" s="15">
        <v>45888</v>
      </c>
      <c r="F6" s="16"/>
      <c r="G6" s="17">
        <f>AVERAGE(G7:G10)</f>
        <v>1</v>
      </c>
      <c r="H6" s="12" t="str">
        <f t="shared" si="0"/>
        <v>COMPLETADA</v>
      </c>
      <c r="J6" s="18" t="s">
        <v>11</v>
      </c>
      <c r="K6" s="18" t="s">
        <v>12</v>
      </c>
    </row>
    <row r="7" spans="2:11" x14ac:dyDescent="0.25">
      <c r="B7" s="13">
        <v>3</v>
      </c>
      <c r="C7" s="19" t="s">
        <v>13</v>
      </c>
      <c r="D7" s="20">
        <v>45874</v>
      </c>
      <c r="E7" s="20">
        <v>45874</v>
      </c>
      <c r="F7" s="16" t="s">
        <v>14</v>
      </c>
      <c r="G7" s="21">
        <v>1</v>
      </c>
      <c r="H7" s="12" t="str">
        <f t="shared" si="0"/>
        <v>COMPLETADA</v>
      </c>
      <c r="J7" s="22" t="s">
        <v>15</v>
      </c>
      <c r="K7" s="22" t="s">
        <v>16</v>
      </c>
    </row>
    <row r="8" spans="2:11" ht="30" x14ac:dyDescent="0.25">
      <c r="B8" s="13">
        <v>4</v>
      </c>
      <c r="C8" s="19" t="s">
        <v>17</v>
      </c>
      <c r="D8" s="20">
        <v>45874</v>
      </c>
      <c r="E8" s="20">
        <v>45875</v>
      </c>
      <c r="F8" s="16" t="s">
        <v>18</v>
      </c>
      <c r="G8" s="21">
        <v>1</v>
      </c>
      <c r="H8" s="12" t="str">
        <f t="shared" si="0"/>
        <v>COMPLETADA</v>
      </c>
      <c r="J8" s="22" t="s">
        <v>19</v>
      </c>
      <c r="K8" s="22" t="s">
        <v>14</v>
      </c>
    </row>
    <row r="9" spans="2:11" ht="30" x14ac:dyDescent="0.25">
      <c r="B9" s="13">
        <v>5</v>
      </c>
      <c r="C9" s="19" t="s">
        <v>20</v>
      </c>
      <c r="D9" s="20">
        <v>45876</v>
      </c>
      <c r="E9" s="20">
        <v>45881</v>
      </c>
      <c r="F9" s="16" t="s">
        <v>18</v>
      </c>
      <c r="G9" s="21">
        <v>1</v>
      </c>
      <c r="H9" s="12" t="str">
        <f t="shared" si="0"/>
        <v>COMPLETADA</v>
      </c>
      <c r="J9" s="22" t="s">
        <v>21</v>
      </c>
      <c r="K9" s="22" t="s">
        <v>22</v>
      </c>
    </row>
    <row r="10" spans="2:11" x14ac:dyDescent="0.25">
      <c r="B10" s="13">
        <v>6</v>
      </c>
      <c r="C10" s="19" t="s">
        <v>23</v>
      </c>
      <c r="D10" s="20">
        <v>45882</v>
      </c>
      <c r="E10" s="20">
        <v>45886</v>
      </c>
      <c r="F10" s="16" t="s">
        <v>24</v>
      </c>
      <c r="G10" s="21">
        <v>1</v>
      </c>
      <c r="H10" s="12" t="str">
        <f t="shared" si="0"/>
        <v>COMPLETADA</v>
      </c>
      <c r="J10" s="22" t="s">
        <v>25</v>
      </c>
      <c r="K10" s="22" t="s">
        <v>26</v>
      </c>
    </row>
    <row r="11" spans="2:11" x14ac:dyDescent="0.25">
      <c r="B11" s="13">
        <v>7</v>
      </c>
      <c r="C11" s="23" t="s">
        <v>27</v>
      </c>
      <c r="D11" s="20"/>
      <c r="E11" s="20"/>
      <c r="F11" s="16"/>
      <c r="G11" s="21"/>
      <c r="H11" s="12"/>
      <c r="J11" s="22" t="s">
        <v>28</v>
      </c>
      <c r="K11" s="22" t="s">
        <v>29</v>
      </c>
    </row>
    <row r="12" spans="2:11" x14ac:dyDescent="0.25">
      <c r="B12" s="13">
        <v>8</v>
      </c>
      <c r="C12" s="14" t="s">
        <v>30</v>
      </c>
      <c r="D12" s="15">
        <v>45887</v>
      </c>
      <c r="E12" s="15">
        <v>45897</v>
      </c>
      <c r="F12" s="16"/>
      <c r="G12" s="17">
        <f>AVERAGE(G13:G15)</f>
        <v>1</v>
      </c>
      <c r="H12" s="12" t="str">
        <f t="shared" ref="H12:H15" si="1">IF(G12=0,"FALTANTE",IF(G12&lt;0.9,"PENDIENTE","COMPLETADA"))</f>
        <v>COMPLETADA</v>
      </c>
    </row>
    <row r="13" spans="2:11" ht="30" x14ac:dyDescent="0.25">
      <c r="B13" s="13">
        <v>9</v>
      </c>
      <c r="C13" s="19" t="s">
        <v>31</v>
      </c>
      <c r="D13" s="20">
        <v>45887</v>
      </c>
      <c r="E13" s="20">
        <v>45891</v>
      </c>
      <c r="F13" s="16" t="s">
        <v>32</v>
      </c>
      <c r="G13" s="21">
        <v>1</v>
      </c>
      <c r="H13" s="12" t="str">
        <f t="shared" si="1"/>
        <v>COMPLETADA</v>
      </c>
    </row>
    <row r="14" spans="2:11" ht="30" x14ac:dyDescent="0.25">
      <c r="B14" s="13">
        <v>10</v>
      </c>
      <c r="C14" s="19" t="s">
        <v>33</v>
      </c>
      <c r="D14" s="20">
        <v>45892</v>
      </c>
      <c r="E14" s="20">
        <v>45895</v>
      </c>
      <c r="F14" s="16" t="s">
        <v>32</v>
      </c>
      <c r="G14" s="21">
        <v>1</v>
      </c>
      <c r="H14" s="12" t="str">
        <f t="shared" si="1"/>
        <v>COMPLETADA</v>
      </c>
    </row>
    <row r="15" spans="2:11" ht="30" x14ac:dyDescent="0.25">
      <c r="B15" s="13">
        <v>11</v>
      </c>
      <c r="C15" s="19" t="s">
        <v>34</v>
      </c>
      <c r="D15" s="20">
        <v>45896</v>
      </c>
      <c r="E15" s="20">
        <v>45897</v>
      </c>
      <c r="F15" s="16" t="s">
        <v>18</v>
      </c>
      <c r="G15" s="21">
        <v>1</v>
      </c>
      <c r="H15" s="12" t="str">
        <f t="shared" si="1"/>
        <v>COMPLETADA</v>
      </c>
    </row>
    <row r="16" spans="2:11" x14ac:dyDescent="0.25">
      <c r="B16" s="13">
        <v>12</v>
      </c>
      <c r="C16" s="23" t="s">
        <v>35</v>
      </c>
      <c r="D16" s="20"/>
      <c r="E16" s="20"/>
      <c r="F16" s="16"/>
      <c r="G16" s="21"/>
      <c r="H16" s="12"/>
    </row>
    <row r="17" spans="2:8" ht="15.75" customHeight="1" x14ac:dyDescent="0.25">
      <c r="B17" s="13">
        <v>13</v>
      </c>
      <c r="C17" s="24" t="s">
        <v>36</v>
      </c>
      <c r="D17" s="15">
        <v>45901</v>
      </c>
      <c r="E17" s="15">
        <v>45955</v>
      </c>
      <c r="F17" s="16"/>
      <c r="G17" s="17">
        <f>AVERAGE(G18:G25)</f>
        <v>1</v>
      </c>
      <c r="H17" s="12" t="str">
        <f t="shared" ref="H17:H24" si="2">IF(G17=0,"FALTANTE",IF(G17&lt;0.9,"PENDIENTE","COMPLETADA"))</f>
        <v>COMPLETADA</v>
      </c>
    </row>
    <row r="18" spans="2:8" ht="15.75" customHeight="1" x14ac:dyDescent="0.25">
      <c r="B18" s="13">
        <v>14</v>
      </c>
      <c r="C18" s="19" t="s">
        <v>37</v>
      </c>
      <c r="D18" s="20">
        <v>45901</v>
      </c>
      <c r="E18" s="20">
        <v>45914</v>
      </c>
      <c r="F18" s="16" t="s">
        <v>22</v>
      </c>
      <c r="G18" s="21">
        <v>1</v>
      </c>
      <c r="H18" s="12" t="str">
        <f t="shared" si="2"/>
        <v>COMPLETADA</v>
      </c>
    </row>
    <row r="19" spans="2:8" ht="15.75" customHeight="1" x14ac:dyDescent="0.25">
      <c r="B19" s="13">
        <v>15</v>
      </c>
      <c r="C19" s="19" t="s">
        <v>38</v>
      </c>
      <c r="D19" s="20">
        <v>45915</v>
      </c>
      <c r="E19" s="20">
        <v>45928</v>
      </c>
      <c r="F19" s="16" t="s">
        <v>22</v>
      </c>
      <c r="G19" s="21">
        <v>1</v>
      </c>
      <c r="H19" s="12" t="str">
        <f t="shared" si="2"/>
        <v>COMPLETADA</v>
      </c>
    </row>
    <row r="20" spans="2:8" ht="29.25" customHeight="1" x14ac:dyDescent="0.25">
      <c r="B20" s="13">
        <v>16</v>
      </c>
      <c r="C20" s="19" t="s">
        <v>39</v>
      </c>
      <c r="D20" s="20">
        <v>45929</v>
      </c>
      <c r="E20" s="20">
        <v>45942</v>
      </c>
      <c r="F20" s="16" t="s">
        <v>26</v>
      </c>
      <c r="G20" s="21">
        <v>1</v>
      </c>
      <c r="H20" s="12" t="str">
        <f t="shared" si="2"/>
        <v>COMPLETADA</v>
      </c>
    </row>
    <row r="21" spans="2:8" ht="50.25" customHeight="1" x14ac:dyDescent="0.25">
      <c r="B21" s="13">
        <v>17</v>
      </c>
      <c r="C21" s="19" t="s">
        <v>40</v>
      </c>
      <c r="D21" s="20">
        <v>45943</v>
      </c>
      <c r="E21" s="20">
        <v>45950</v>
      </c>
      <c r="F21" s="16" t="s">
        <v>41</v>
      </c>
      <c r="G21" s="21">
        <v>1</v>
      </c>
      <c r="H21" s="12" t="str">
        <f t="shared" si="2"/>
        <v>COMPLETADA</v>
      </c>
    </row>
    <row r="22" spans="2:8" ht="50.25" customHeight="1" x14ac:dyDescent="0.25">
      <c r="B22" s="13">
        <v>18</v>
      </c>
      <c r="C22" s="19" t="s">
        <v>42</v>
      </c>
      <c r="D22" s="20">
        <v>45951</v>
      </c>
      <c r="E22" s="20">
        <v>45954</v>
      </c>
      <c r="F22" s="16" t="s">
        <v>41</v>
      </c>
      <c r="G22" s="21">
        <v>1</v>
      </c>
      <c r="H22" s="12" t="str">
        <f t="shared" si="2"/>
        <v>COMPLETADA</v>
      </c>
    </row>
    <row r="23" spans="2:8" ht="33.75" customHeight="1" x14ac:dyDescent="0.25">
      <c r="B23" s="13">
        <v>19</v>
      </c>
      <c r="C23" s="19" t="s">
        <v>43</v>
      </c>
      <c r="D23" s="20">
        <v>45950</v>
      </c>
      <c r="E23" s="20">
        <v>45955</v>
      </c>
      <c r="F23" s="16" t="s">
        <v>14</v>
      </c>
      <c r="G23" s="21">
        <v>1</v>
      </c>
      <c r="H23" s="12" t="str">
        <f t="shared" si="2"/>
        <v>COMPLETADA</v>
      </c>
    </row>
    <row r="24" spans="2:8" ht="15.75" customHeight="1" x14ac:dyDescent="0.25">
      <c r="B24" s="13">
        <v>20</v>
      </c>
      <c r="C24" s="19" t="s">
        <v>44</v>
      </c>
      <c r="D24" s="20">
        <v>45950</v>
      </c>
      <c r="E24" s="20">
        <v>45955</v>
      </c>
      <c r="F24" s="16" t="s">
        <v>24</v>
      </c>
      <c r="G24" s="21">
        <v>1</v>
      </c>
      <c r="H24" s="12" t="str">
        <f t="shared" si="2"/>
        <v>COMPLETADA</v>
      </c>
    </row>
    <row r="25" spans="2:8" ht="15.75" customHeight="1" x14ac:dyDescent="0.25">
      <c r="B25" s="13">
        <v>21</v>
      </c>
      <c r="C25" s="23" t="s">
        <v>45</v>
      </c>
      <c r="D25" s="20"/>
      <c r="E25" s="20"/>
      <c r="F25" s="16"/>
      <c r="G25" s="21"/>
      <c r="H25" s="12"/>
    </row>
    <row r="26" spans="2:8" ht="15.75" customHeight="1" x14ac:dyDescent="0.25">
      <c r="B26" s="13">
        <v>22</v>
      </c>
      <c r="C26" s="24" t="s">
        <v>46</v>
      </c>
      <c r="D26" s="15">
        <v>45956</v>
      </c>
      <c r="E26" s="15">
        <v>45956</v>
      </c>
      <c r="F26" s="16"/>
      <c r="G26" s="17">
        <v>1</v>
      </c>
      <c r="H26" s="12" t="str">
        <f t="shared" ref="H26:H27" si="3">IF(G26=0,"FALTANTE",IF(G26&lt;0.9,"PENDIENTE","COMPLETADA"))</f>
        <v>COMPLETADA</v>
      </c>
    </row>
    <row r="27" spans="2:8" ht="15.75" customHeight="1" x14ac:dyDescent="0.25">
      <c r="B27" s="13">
        <v>23</v>
      </c>
      <c r="C27" s="19" t="s">
        <v>47</v>
      </c>
      <c r="D27" s="20">
        <v>45956</v>
      </c>
      <c r="E27" s="20">
        <v>45956</v>
      </c>
      <c r="F27" s="16" t="s">
        <v>24</v>
      </c>
      <c r="G27" s="21">
        <v>1</v>
      </c>
      <c r="H27" s="12" t="str">
        <f t="shared" si="3"/>
        <v>COMPLETADA</v>
      </c>
    </row>
    <row r="28" spans="2:8" ht="15.75" customHeight="1" x14ac:dyDescent="0.25">
      <c r="B28" s="13">
        <v>24</v>
      </c>
      <c r="C28" s="23" t="s">
        <v>48</v>
      </c>
      <c r="D28" s="20"/>
      <c r="E28" s="20"/>
      <c r="F28" s="16"/>
      <c r="G28" s="25"/>
      <c r="H28" s="26"/>
    </row>
    <row r="29" spans="2:8" ht="15.75" customHeight="1" x14ac:dyDescent="0.25">
      <c r="B29" s="13">
        <v>25</v>
      </c>
      <c r="C29" s="19"/>
      <c r="D29" s="20"/>
      <c r="E29" s="20"/>
      <c r="F29" s="16"/>
      <c r="G29" s="25"/>
      <c r="H29" s="26"/>
    </row>
    <row r="30" spans="2:8" ht="15.75" customHeight="1" x14ac:dyDescent="0.25">
      <c r="B30" s="13">
        <v>26</v>
      </c>
      <c r="C30" s="19"/>
      <c r="D30" s="20"/>
      <c r="E30" s="20"/>
      <c r="F30" s="16"/>
      <c r="G30" s="25"/>
      <c r="H30" s="26"/>
    </row>
    <row r="31" spans="2:8" ht="15.75" customHeight="1" x14ac:dyDescent="0.25">
      <c r="B31" s="13">
        <v>27</v>
      </c>
      <c r="C31" s="19"/>
      <c r="D31" s="20"/>
      <c r="E31" s="20"/>
      <c r="F31" s="16"/>
      <c r="G31" s="25"/>
      <c r="H31" s="26"/>
    </row>
    <row r="32" spans="2:8" ht="15.75" customHeight="1" x14ac:dyDescent="0.25">
      <c r="B32" s="13">
        <v>28</v>
      </c>
      <c r="C32" s="19"/>
      <c r="D32" s="20"/>
      <c r="E32" s="20"/>
      <c r="F32" s="16"/>
      <c r="G32" s="25"/>
      <c r="H32" s="26"/>
    </row>
    <row r="33" spans="2:8" ht="15.75" customHeight="1" x14ac:dyDescent="0.25">
      <c r="B33" s="13">
        <v>29</v>
      </c>
      <c r="C33" s="19"/>
      <c r="D33" s="20"/>
      <c r="E33" s="20"/>
      <c r="F33" s="16"/>
      <c r="G33" s="25"/>
      <c r="H33" s="26"/>
    </row>
    <row r="34" spans="2:8" ht="15.75" customHeight="1" x14ac:dyDescent="0.25">
      <c r="B34" s="13">
        <v>30</v>
      </c>
      <c r="C34" s="23"/>
      <c r="D34" s="20"/>
      <c r="E34" s="20"/>
      <c r="F34" s="16"/>
      <c r="G34" s="25"/>
      <c r="H34" s="26"/>
    </row>
    <row r="35" spans="2:8" ht="15.75" customHeight="1" x14ac:dyDescent="0.25">
      <c r="B35" s="13">
        <v>31</v>
      </c>
      <c r="C35" s="19"/>
      <c r="D35" s="20"/>
      <c r="E35" s="20"/>
      <c r="F35" s="16"/>
      <c r="G35" s="25"/>
      <c r="H35" s="26"/>
    </row>
    <row r="36" spans="2:8" ht="15.75" customHeight="1" x14ac:dyDescent="0.25">
      <c r="B36" s="13">
        <v>32</v>
      </c>
      <c r="C36" s="19"/>
      <c r="D36" s="20"/>
      <c r="E36" s="20"/>
      <c r="F36" s="16"/>
      <c r="G36" s="25"/>
      <c r="H36" s="26"/>
    </row>
    <row r="37" spans="2:8" ht="15.75" customHeight="1" x14ac:dyDescent="0.25">
      <c r="B37" s="13">
        <v>33</v>
      </c>
      <c r="C37" s="19"/>
      <c r="D37" s="20"/>
      <c r="E37" s="20"/>
      <c r="F37" s="16"/>
      <c r="G37" s="25"/>
      <c r="H37" s="26"/>
    </row>
    <row r="38" spans="2:8" ht="15.75" customHeight="1" x14ac:dyDescent="0.25">
      <c r="B38" s="13">
        <v>34</v>
      </c>
      <c r="C38" s="19"/>
      <c r="D38" s="20"/>
      <c r="E38" s="20"/>
      <c r="F38" s="16"/>
      <c r="G38" s="25"/>
      <c r="H38" s="26"/>
    </row>
    <row r="39" spans="2:8" ht="15.75" customHeight="1" x14ac:dyDescent="0.25">
      <c r="B39" s="13">
        <v>35</v>
      </c>
      <c r="C39" s="23"/>
      <c r="D39" s="20"/>
      <c r="E39" s="20"/>
      <c r="F39" s="16"/>
      <c r="G39" s="25"/>
      <c r="H39" s="26"/>
    </row>
    <row r="40" spans="2:8" ht="15.75" customHeight="1" x14ac:dyDescent="0.25">
      <c r="B40" s="13">
        <v>36</v>
      </c>
      <c r="C40" s="27"/>
      <c r="D40" s="20"/>
      <c r="E40" s="20"/>
      <c r="F40" s="16"/>
      <c r="G40" s="25"/>
      <c r="H40" s="26"/>
    </row>
    <row r="41" spans="2:8" ht="15.75" customHeight="1" x14ac:dyDescent="0.25">
      <c r="B41" s="13">
        <v>37</v>
      </c>
      <c r="C41" s="27"/>
      <c r="D41" s="20"/>
      <c r="E41" s="20"/>
      <c r="F41" s="16"/>
      <c r="G41" s="25"/>
      <c r="H41" s="26"/>
    </row>
    <row r="42" spans="2:8" ht="15.75" customHeight="1" x14ac:dyDescent="0.25">
      <c r="B42" s="13">
        <v>38</v>
      </c>
      <c r="C42" s="27"/>
      <c r="D42" s="20"/>
      <c r="E42" s="20"/>
      <c r="F42" s="16"/>
      <c r="G42" s="25"/>
      <c r="H42" s="26"/>
    </row>
    <row r="43" spans="2:8" ht="15.75" customHeight="1" x14ac:dyDescent="0.25">
      <c r="B43" s="13">
        <v>39</v>
      </c>
      <c r="C43" s="27"/>
      <c r="D43" s="20"/>
      <c r="E43" s="20"/>
      <c r="F43" s="16"/>
      <c r="G43" s="25"/>
      <c r="H43" s="26"/>
    </row>
    <row r="44" spans="2:8" ht="15.75" customHeight="1" x14ac:dyDescent="0.25">
      <c r="B44" s="13">
        <v>40</v>
      </c>
      <c r="C44" s="27"/>
      <c r="D44" s="20"/>
      <c r="E44" s="20"/>
      <c r="F44" s="16"/>
      <c r="G44" s="25"/>
      <c r="H44" s="26"/>
    </row>
    <row r="45" spans="2:8" ht="15.75" customHeight="1" x14ac:dyDescent="0.25">
      <c r="B45" s="13">
        <v>41</v>
      </c>
      <c r="C45" s="27"/>
      <c r="D45" s="20"/>
      <c r="E45" s="20"/>
      <c r="F45" s="16"/>
      <c r="G45" s="25"/>
      <c r="H45" s="26"/>
    </row>
    <row r="46" spans="2:8" ht="15.75" customHeight="1" x14ac:dyDescent="0.25">
      <c r="B46" s="13">
        <v>42</v>
      </c>
      <c r="C46" s="27"/>
      <c r="D46" s="20"/>
      <c r="E46" s="20"/>
      <c r="F46" s="16"/>
      <c r="G46" s="25"/>
      <c r="H46" s="26"/>
    </row>
    <row r="47" spans="2:8" ht="15.75" customHeight="1" x14ac:dyDescent="0.25">
      <c r="B47" s="13">
        <v>43</v>
      </c>
      <c r="C47" s="27"/>
      <c r="D47" s="20"/>
      <c r="E47" s="20"/>
      <c r="F47" s="16"/>
      <c r="G47" s="25"/>
      <c r="H47" s="26"/>
    </row>
    <row r="48" spans="2:8" ht="15.75" customHeight="1" x14ac:dyDescent="0.25">
      <c r="B48" s="13">
        <v>44</v>
      </c>
      <c r="C48" s="27"/>
      <c r="D48" s="20"/>
      <c r="E48" s="20"/>
      <c r="F48" s="16"/>
      <c r="G48" s="25"/>
      <c r="H48" s="26"/>
    </row>
    <row r="49" spans="2:8" ht="15.75" customHeight="1" x14ac:dyDescent="0.25">
      <c r="B49" s="13">
        <v>45</v>
      </c>
      <c r="C49" s="27"/>
      <c r="D49" s="20"/>
      <c r="E49" s="20"/>
      <c r="F49" s="16"/>
      <c r="G49" s="25"/>
      <c r="H49" s="26"/>
    </row>
    <row r="50" spans="2:8" ht="15.75" customHeight="1" x14ac:dyDescent="0.25">
      <c r="B50" s="13">
        <v>46</v>
      </c>
      <c r="C50" s="27"/>
      <c r="D50" s="20"/>
      <c r="E50" s="20"/>
      <c r="F50" s="16"/>
      <c r="G50" s="25"/>
      <c r="H50" s="26"/>
    </row>
    <row r="51" spans="2:8" ht="15.75" customHeight="1" x14ac:dyDescent="0.25">
      <c r="B51" s="13">
        <v>47</v>
      </c>
      <c r="C51" s="27"/>
      <c r="D51" s="20"/>
      <c r="E51" s="20"/>
      <c r="F51" s="16"/>
      <c r="G51" s="25"/>
      <c r="H51" s="26"/>
    </row>
    <row r="52" spans="2:8" ht="15.75" customHeight="1" x14ac:dyDescent="0.25">
      <c r="B52" s="13">
        <v>48</v>
      </c>
      <c r="C52" s="27"/>
      <c r="D52" s="20"/>
      <c r="E52" s="20"/>
      <c r="F52" s="16"/>
      <c r="G52" s="25"/>
      <c r="H52" s="26"/>
    </row>
    <row r="53" spans="2:8" ht="15.75" customHeight="1" x14ac:dyDescent="0.25">
      <c r="B53" s="13">
        <v>49</v>
      </c>
      <c r="C53" s="27"/>
      <c r="D53" s="20"/>
      <c r="E53" s="20"/>
      <c r="F53" s="16"/>
      <c r="G53" s="25"/>
      <c r="H53" s="26"/>
    </row>
    <row r="54" spans="2:8" ht="15.75" customHeight="1" x14ac:dyDescent="0.25">
      <c r="B54" s="28">
        <v>50</v>
      </c>
      <c r="C54" s="29"/>
      <c r="D54" s="30"/>
      <c r="E54" s="30"/>
      <c r="F54" s="31"/>
      <c r="G54" s="32"/>
      <c r="H54" s="33"/>
    </row>
    <row r="55" spans="2:8" ht="15.75" customHeight="1" x14ac:dyDescent="0.25">
      <c r="F55" s="1"/>
    </row>
    <row r="56" spans="2:8" ht="15.75" customHeight="1" x14ac:dyDescent="0.25">
      <c r="F56" s="1"/>
    </row>
    <row r="57" spans="2:8" ht="15.75" customHeight="1" x14ac:dyDescent="0.25">
      <c r="F57" s="1"/>
    </row>
    <row r="58" spans="2:8" ht="15.75" customHeight="1" x14ac:dyDescent="0.25">
      <c r="F58" s="1"/>
    </row>
    <row r="59" spans="2:8" ht="15.75" customHeight="1" x14ac:dyDescent="0.25">
      <c r="F59" s="1"/>
    </row>
    <row r="60" spans="2:8" ht="15.75" customHeight="1" x14ac:dyDescent="0.25">
      <c r="F60" s="1"/>
    </row>
    <row r="61" spans="2:8" ht="15.75" customHeight="1" x14ac:dyDescent="0.25">
      <c r="F61" s="1"/>
    </row>
    <row r="62" spans="2:8" ht="15.75" customHeight="1" x14ac:dyDescent="0.25">
      <c r="F62" s="1"/>
    </row>
    <row r="63" spans="2:8" ht="15.75" customHeight="1" x14ac:dyDescent="0.25">
      <c r="F63" s="1"/>
    </row>
    <row r="64" spans="2:8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x14ac:dyDescent="0.25">
      <c r="F949" s="1"/>
    </row>
    <row r="950" spans="6:6" x14ac:dyDescent="0.25">
      <c r="F950" s="1"/>
    </row>
    <row r="951" spans="6:6" x14ac:dyDescent="0.25">
      <c r="F951" s="1"/>
    </row>
    <row r="952" spans="6:6" x14ac:dyDescent="0.25">
      <c r="F952" s="1"/>
    </row>
    <row r="953" spans="6:6" x14ac:dyDescent="0.25">
      <c r="F953" s="1"/>
    </row>
    <row r="954" spans="6:6" x14ac:dyDescent="0.25">
      <c r="F954" s="1"/>
    </row>
    <row r="955" spans="6:6" x14ac:dyDescent="0.25">
      <c r="F955" s="1"/>
    </row>
    <row r="956" spans="6:6" x14ac:dyDescent="0.25">
      <c r="F956" s="1"/>
    </row>
    <row r="957" spans="6:6" x14ac:dyDescent="0.25">
      <c r="F957" s="1"/>
    </row>
    <row r="958" spans="6:6" x14ac:dyDescent="0.25">
      <c r="F958" s="1"/>
    </row>
    <row r="959" spans="6:6" x14ac:dyDescent="0.25">
      <c r="F959" s="1"/>
    </row>
    <row r="960" spans="6:6" x14ac:dyDescent="0.25">
      <c r="F960" s="1"/>
    </row>
    <row r="961" spans="6:6" x14ac:dyDescent="0.25">
      <c r="F961" s="1"/>
    </row>
    <row r="962" spans="6:6" x14ac:dyDescent="0.25">
      <c r="F962" s="1"/>
    </row>
    <row r="963" spans="6:6" x14ac:dyDescent="0.25">
      <c r="F963" s="1"/>
    </row>
    <row r="964" spans="6:6" x14ac:dyDescent="0.25">
      <c r="F964" s="1"/>
    </row>
    <row r="965" spans="6:6" x14ac:dyDescent="0.25">
      <c r="F965" s="1"/>
    </row>
    <row r="966" spans="6:6" x14ac:dyDescent="0.25">
      <c r="F966" s="1"/>
    </row>
    <row r="967" spans="6:6" x14ac:dyDescent="0.25">
      <c r="F967" s="1"/>
    </row>
    <row r="968" spans="6:6" x14ac:dyDescent="0.25">
      <c r="F968" s="1"/>
    </row>
    <row r="969" spans="6:6" x14ac:dyDescent="0.25">
      <c r="F969" s="1"/>
    </row>
    <row r="970" spans="6:6" x14ac:dyDescent="0.25">
      <c r="F970" s="1"/>
    </row>
    <row r="971" spans="6:6" x14ac:dyDescent="0.25">
      <c r="F971" s="1"/>
    </row>
    <row r="972" spans="6:6" x14ac:dyDescent="0.25">
      <c r="F972" s="1"/>
    </row>
    <row r="973" spans="6:6" x14ac:dyDescent="0.25">
      <c r="F973" s="1"/>
    </row>
    <row r="974" spans="6:6" x14ac:dyDescent="0.25">
      <c r="F974" s="1"/>
    </row>
    <row r="975" spans="6:6" x14ac:dyDescent="0.25">
      <c r="F975" s="1"/>
    </row>
    <row r="976" spans="6:6" x14ac:dyDescent="0.25">
      <c r="F976" s="1"/>
    </row>
    <row r="977" spans="6:6" x14ac:dyDescent="0.25">
      <c r="F977" s="1"/>
    </row>
    <row r="978" spans="6:6" x14ac:dyDescent="0.25">
      <c r="F978" s="1"/>
    </row>
    <row r="979" spans="6:6" x14ac:dyDescent="0.25">
      <c r="F979" s="1"/>
    </row>
    <row r="980" spans="6:6" x14ac:dyDescent="0.25">
      <c r="F980" s="1"/>
    </row>
    <row r="981" spans="6:6" x14ac:dyDescent="0.25">
      <c r="F981" s="1"/>
    </row>
    <row r="982" spans="6:6" x14ac:dyDescent="0.25">
      <c r="F982" s="1"/>
    </row>
    <row r="983" spans="6:6" x14ac:dyDescent="0.25">
      <c r="F983" s="1"/>
    </row>
    <row r="984" spans="6:6" x14ac:dyDescent="0.25">
      <c r="F984" s="1"/>
    </row>
    <row r="985" spans="6:6" x14ac:dyDescent="0.25">
      <c r="F985" s="1"/>
    </row>
    <row r="986" spans="6:6" x14ac:dyDescent="0.25">
      <c r="F986" s="1"/>
    </row>
    <row r="987" spans="6:6" x14ac:dyDescent="0.25">
      <c r="F987" s="1"/>
    </row>
    <row r="988" spans="6:6" x14ac:dyDescent="0.25">
      <c r="F988" s="1"/>
    </row>
    <row r="989" spans="6:6" x14ac:dyDescent="0.25">
      <c r="F989" s="1"/>
    </row>
    <row r="990" spans="6:6" x14ac:dyDescent="0.25">
      <c r="F990" s="1"/>
    </row>
    <row r="991" spans="6:6" x14ac:dyDescent="0.25">
      <c r="F991" s="1"/>
    </row>
    <row r="992" spans="6:6" x14ac:dyDescent="0.25">
      <c r="F992" s="1"/>
    </row>
    <row r="993" spans="6:6" x14ac:dyDescent="0.25">
      <c r="F993" s="1"/>
    </row>
    <row r="994" spans="6:6" x14ac:dyDescent="0.25">
      <c r="F994" s="1"/>
    </row>
    <row r="995" spans="6:6" x14ac:dyDescent="0.25">
      <c r="F995" s="1"/>
    </row>
    <row r="996" spans="6:6" x14ac:dyDescent="0.25">
      <c r="F996" s="1"/>
    </row>
    <row r="997" spans="6:6" x14ac:dyDescent="0.25">
      <c r="F997" s="1"/>
    </row>
    <row r="998" spans="6:6" x14ac:dyDescent="0.25">
      <c r="F998" s="1"/>
    </row>
    <row r="999" spans="6:6" x14ac:dyDescent="0.25">
      <c r="F999" s="1"/>
    </row>
  </sheetData>
  <mergeCells count="1">
    <mergeCell ref="B3:G3"/>
  </mergeCells>
  <conditionalFormatting sqref="H1:H999">
    <cfRule type="cellIs" dxfId="5" priority="1" operator="equal">
      <formula>"COMPLETADA"</formula>
    </cfRule>
    <cfRule type="cellIs" dxfId="4" priority="2" operator="equal">
      <formula>"PENDIENTE"</formula>
    </cfRule>
    <cfRule type="cellIs" dxfId="3" priority="3" operator="equal">
      <formula>"FALTANTE"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5" x14ac:dyDescent="0.25">
      <c r="A1" s="34" t="s">
        <v>13</v>
      </c>
      <c r="B1" s="35">
        <v>45874</v>
      </c>
      <c r="C1" s="36">
        <f t="shared" ref="C1:C15" si="0">D1-B1</f>
        <v>0</v>
      </c>
      <c r="D1" s="35">
        <v>45874</v>
      </c>
      <c r="E1" s="37"/>
    </row>
    <row r="2" spans="1:5" x14ac:dyDescent="0.25">
      <c r="A2" s="34" t="s">
        <v>17</v>
      </c>
      <c r="B2" s="35">
        <v>45874</v>
      </c>
      <c r="C2" s="36">
        <f t="shared" si="0"/>
        <v>1</v>
      </c>
      <c r="D2" s="35">
        <v>45875</v>
      </c>
      <c r="E2" s="37"/>
    </row>
    <row r="3" spans="1:5" x14ac:dyDescent="0.25">
      <c r="A3" s="34" t="s">
        <v>20</v>
      </c>
      <c r="B3" s="35">
        <v>45876</v>
      </c>
      <c r="C3" s="36">
        <f t="shared" si="0"/>
        <v>5</v>
      </c>
      <c r="D3" s="35">
        <v>45881</v>
      </c>
      <c r="E3" s="37"/>
    </row>
    <row r="4" spans="1:5" x14ac:dyDescent="0.25">
      <c r="A4" s="34" t="s">
        <v>23</v>
      </c>
      <c r="B4" s="35">
        <v>45882</v>
      </c>
      <c r="C4" s="36">
        <f t="shared" si="0"/>
        <v>4</v>
      </c>
      <c r="D4" s="35">
        <v>45886</v>
      </c>
      <c r="E4" s="37"/>
    </row>
    <row r="5" spans="1:5" x14ac:dyDescent="0.25">
      <c r="A5" s="34" t="s">
        <v>31</v>
      </c>
      <c r="B5" s="35">
        <v>45887</v>
      </c>
      <c r="C5" s="36">
        <f t="shared" si="0"/>
        <v>4</v>
      </c>
      <c r="D5" s="35">
        <v>45891</v>
      </c>
      <c r="E5" s="37"/>
    </row>
    <row r="6" spans="1:5" x14ac:dyDescent="0.25">
      <c r="A6" s="34" t="s">
        <v>33</v>
      </c>
      <c r="B6" s="35">
        <v>45892</v>
      </c>
      <c r="C6" s="36">
        <f t="shared" si="0"/>
        <v>3</v>
      </c>
      <c r="D6" s="35">
        <v>45895</v>
      </c>
      <c r="E6" s="37"/>
    </row>
    <row r="7" spans="1:5" x14ac:dyDescent="0.25">
      <c r="A7" s="34" t="s">
        <v>34</v>
      </c>
      <c r="B7" s="35">
        <v>45896</v>
      </c>
      <c r="C7" s="36">
        <f t="shared" si="0"/>
        <v>1</v>
      </c>
      <c r="D7" s="35">
        <v>45897</v>
      </c>
      <c r="E7" s="37"/>
    </row>
    <row r="8" spans="1:5" x14ac:dyDescent="0.25">
      <c r="A8" s="34" t="s">
        <v>37</v>
      </c>
      <c r="B8" s="35">
        <v>45901</v>
      </c>
      <c r="C8" s="36">
        <f t="shared" si="0"/>
        <v>13</v>
      </c>
      <c r="D8" s="35">
        <v>45914</v>
      </c>
      <c r="E8" s="37"/>
    </row>
    <row r="9" spans="1:5" x14ac:dyDescent="0.25">
      <c r="A9" s="34" t="s">
        <v>38</v>
      </c>
      <c r="B9" s="35">
        <v>45915</v>
      </c>
      <c r="C9" s="36">
        <f t="shared" si="0"/>
        <v>13</v>
      </c>
      <c r="D9" s="35">
        <v>45928</v>
      </c>
      <c r="E9" s="37"/>
    </row>
    <row r="10" spans="1:5" x14ac:dyDescent="0.25">
      <c r="A10" s="34" t="s">
        <v>39</v>
      </c>
      <c r="B10" s="35">
        <v>45929</v>
      </c>
      <c r="C10" s="36">
        <f t="shared" si="0"/>
        <v>13</v>
      </c>
      <c r="D10" s="35">
        <v>45942</v>
      </c>
      <c r="E10" s="37"/>
    </row>
    <row r="11" spans="1:5" x14ac:dyDescent="0.25">
      <c r="A11" s="34" t="s">
        <v>40</v>
      </c>
      <c r="B11" s="35">
        <v>45943</v>
      </c>
      <c r="C11" s="36">
        <f t="shared" si="0"/>
        <v>7</v>
      </c>
      <c r="D11" s="35">
        <v>45950</v>
      </c>
      <c r="E11" s="37"/>
    </row>
    <row r="12" spans="1:5" x14ac:dyDescent="0.25">
      <c r="A12" s="34" t="s">
        <v>42</v>
      </c>
      <c r="B12" s="35">
        <v>45951</v>
      </c>
      <c r="C12" s="36">
        <f t="shared" si="0"/>
        <v>3</v>
      </c>
      <c r="D12" s="35">
        <v>45954</v>
      </c>
      <c r="E12" s="37"/>
    </row>
    <row r="13" spans="1:5" x14ac:dyDescent="0.25">
      <c r="A13" s="34" t="s">
        <v>43</v>
      </c>
      <c r="B13" s="35">
        <v>45950</v>
      </c>
      <c r="C13" s="36">
        <f t="shared" si="0"/>
        <v>5</v>
      </c>
      <c r="D13" s="35">
        <v>45955</v>
      </c>
      <c r="E13" s="37"/>
    </row>
    <row r="14" spans="1:5" x14ac:dyDescent="0.25">
      <c r="A14" s="34" t="s">
        <v>44</v>
      </c>
      <c r="B14" s="35">
        <v>45950</v>
      </c>
      <c r="C14" s="36">
        <f t="shared" si="0"/>
        <v>5</v>
      </c>
      <c r="D14" s="35">
        <v>45955</v>
      </c>
      <c r="E14" s="37"/>
    </row>
    <row r="15" spans="1:5" x14ac:dyDescent="0.25">
      <c r="A15" s="34" t="s">
        <v>47</v>
      </c>
      <c r="B15" s="35">
        <v>45956</v>
      </c>
      <c r="C15" s="36">
        <f t="shared" si="0"/>
        <v>0</v>
      </c>
      <c r="D15" s="35">
        <v>45956</v>
      </c>
      <c r="E15" s="37"/>
    </row>
    <row r="16" spans="1:5" x14ac:dyDescent="0.25">
      <c r="A16" s="37"/>
      <c r="B16" s="37"/>
      <c r="C16" s="37"/>
      <c r="D16" s="37"/>
      <c r="E16" s="37"/>
    </row>
    <row r="17" spans="1:5" x14ac:dyDescent="0.25">
      <c r="A17" s="37"/>
      <c r="B17" s="37"/>
      <c r="C17" s="37"/>
      <c r="D17" s="37"/>
      <c r="E17" s="37"/>
    </row>
    <row r="18" spans="1:5" x14ac:dyDescent="0.25">
      <c r="A18" s="38">
        <v>45874</v>
      </c>
      <c r="B18" s="38">
        <v>45956</v>
      </c>
      <c r="C18" s="37"/>
      <c r="D18" s="37"/>
      <c r="E18" s="37"/>
    </row>
    <row r="19" spans="1:5" x14ac:dyDescent="0.25">
      <c r="A19" s="37"/>
      <c r="B19" s="37"/>
      <c r="C19" s="37"/>
      <c r="D19" s="37"/>
      <c r="E19" s="37"/>
    </row>
    <row r="20" spans="1:5" x14ac:dyDescent="0.25">
      <c r="A20" s="37"/>
      <c r="B20" s="37"/>
      <c r="C20" s="37"/>
      <c r="D20" s="37"/>
      <c r="E20" s="37"/>
    </row>
    <row r="21" spans="1:5" ht="15.75" customHeight="1" x14ac:dyDescent="0.25">
      <c r="A21" s="37"/>
      <c r="B21" s="37"/>
      <c r="C21" s="37"/>
      <c r="D21" s="37"/>
      <c r="E21" s="37"/>
    </row>
    <row r="22" spans="1:5" ht="15.75" customHeight="1" x14ac:dyDescent="0.25">
      <c r="A22" s="37"/>
      <c r="B22" s="37"/>
      <c r="C22" s="37"/>
      <c r="D22" s="37"/>
      <c r="E22" s="37"/>
    </row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00"/>
  <sheetViews>
    <sheetView topLeftCell="A53" workbookViewId="0">
      <selection activeCell="G59" sqref="G59"/>
    </sheetView>
  </sheetViews>
  <sheetFormatPr baseColWidth="10" defaultColWidth="14.42578125" defaultRowHeight="15" customHeight="1" x14ac:dyDescent="0.25"/>
  <cols>
    <col min="1" max="1" width="10.7109375" customWidth="1"/>
    <col min="2" max="2" width="30.7109375" customWidth="1"/>
    <col min="3" max="3" width="43.85546875" customWidth="1"/>
    <col min="4" max="4" width="23" customWidth="1"/>
    <col min="5" max="5" width="20" customWidth="1"/>
    <col min="6" max="6" width="16.5703125" customWidth="1"/>
    <col min="7" max="26" width="10.7109375" customWidth="1"/>
  </cols>
  <sheetData>
    <row r="2" spans="2:8" ht="21" x14ac:dyDescent="0.35">
      <c r="B2" s="48" t="s">
        <v>49</v>
      </c>
      <c r="C2" s="49"/>
      <c r="D2" s="49"/>
      <c r="E2" s="49"/>
      <c r="F2" s="49"/>
    </row>
    <row r="4" spans="2:8" ht="30" x14ac:dyDescent="0.25">
      <c r="B4" s="39" t="s">
        <v>50</v>
      </c>
      <c r="C4" s="39" t="s">
        <v>51</v>
      </c>
      <c r="D4" s="39" t="s">
        <v>52</v>
      </c>
      <c r="E4" s="40" t="s">
        <v>53</v>
      </c>
      <c r="F4" s="39" t="s">
        <v>54</v>
      </c>
    </row>
    <row r="5" spans="2:8" ht="45" x14ac:dyDescent="0.25">
      <c r="B5" s="41" t="s">
        <v>55</v>
      </c>
      <c r="C5" s="42" t="s">
        <v>56</v>
      </c>
      <c r="D5" s="22" t="s">
        <v>57</v>
      </c>
      <c r="E5" s="22">
        <v>3</v>
      </c>
      <c r="F5" s="22" t="s">
        <v>93</v>
      </c>
    </row>
    <row r="6" spans="2:8" ht="30" x14ac:dyDescent="0.25">
      <c r="B6" s="41"/>
      <c r="C6" s="42" t="s">
        <v>58</v>
      </c>
      <c r="D6" s="22" t="s">
        <v>57</v>
      </c>
      <c r="E6" s="43">
        <v>3</v>
      </c>
      <c r="F6" s="22" t="s">
        <v>93</v>
      </c>
    </row>
    <row r="7" spans="2:8" x14ac:dyDescent="0.25">
      <c r="B7" s="41"/>
      <c r="C7" s="42" t="s">
        <v>59</v>
      </c>
      <c r="D7" s="22" t="s">
        <v>57</v>
      </c>
      <c r="E7" s="22">
        <v>2</v>
      </c>
      <c r="F7" s="22" t="s">
        <v>93</v>
      </c>
    </row>
    <row r="8" spans="2:8" ht="30" x14ac:dyDescent="0.25">
      <c r="B8" s="41"/>
      <c r="C8" s="42" t="s">
        <v>60</v>
      </c>
      <c r="D8" s="22" t="s">
        <v>57</v>
      </c>
      <c r="E8" s="22">
        <v>3</v>
      </c>
      <c r="F8" s="22" t="s">
        <v>93</v>
      </c>
    </row>
    <row r="9" spans="2:8" ht="30" x14ac:dyDescent="0.25">
      <c r="B9" s="41"/>
      <c r="C9" s="42" t="s">
        <v>61</v>
      </c>
      <c r="D9" s="22" t="s">
        <v>57</v>
      </c>
      <c r="E9" s="22">
        <v>3</v>
      </c>
      <c r="F9" s="22" t="s">
        <v>93</v>
      </c>
    </row>
    <row r="13" spans="2:8" ht="21" x14ac:dyDescent="0.35">
      <c r="B13" s="48" t="s">
        <v>62</v>
      </c>
      <c r="C13" s="49"/>
      <c r="D13" s="49"/>
      <c r="E13" s="49"/>
      <c r="F13" s="49"/>
    </row>
    <row r="15" spans="2:8" ht="30" x14ac:dyDescent="0.25">
      <c r="B15" s="39" t="s">
        <v>50</v>
      </c>
      <c r="C15" s="39" t="s">
        <v>51</v>
      </c>
      <c r="D15" s="39" t="s">
        <v>52</v>
      </c>
      <c r="E15" s="40" t="s">
        <v>53</v>
      </c>
      <c r="F15" s="39" t="s">
        <v>54</v>
      </c>
      <c r="H15" s="44"/>
    </row>
    <row r="16" spans="2:8" ht="60" x14ac:dyDescent="0.25">
      <c r="B16" s="42" t="s">
        <v>63</v>
      </c>
      <c r="C16" s="42" t="s">
        <v>64</v>
      </c>
      <c r="D16" s="22" t="s">
        <v>57</v>
      </c>
      <c r="E16" s="22">
        <v>7</v>
      </c>
      <c r="F16" s="22" t="s">
        <v>93</v>
      </c>
      <c r="H16" s="45"/>
    </row>
    <row r="17" spans="2:8" x14ac:dyDescent="0.25">
      <c r="B17" s="41"/>
      <c r="C17" s="42" t="s">
        <v>65</v>
      </c>
      <c r="D17" s="22" t="s">
        <v>57</v>
      </c>
      <c r="E17" s="43">
        <v>2</v>
      </c>
      <c r="F17" s="22" t="s">
        <v>93</v>
      </c>
      <c r="H17" s="45"/>
    </row>
    <row r="18" spans="2:8" ht="30" x14ac:dyDescent="0.25">
      <c r="B18" s="41"/>
      <c r="C18" s="42" t="s">
        <v>66</v>
      </c>
      <c r="D18" s="22" t="s">
        <v>57</v>
      </c>
      <c r="E18" s="22">
        <v>3</v>
      </c>
      <c r="F18" s="22" t="s">
        <v>93</v>
      </c>
      <c r="H18" s="45"/>
    </row>
    <row r="19" spans="2:8" ht="30" x14ac:dyDescent="0.25">
      <c r="B19" s="41"/>
      <c r="C19" s="42" t="s">
        <v>67</v>
      </c>
      <c r="D19" s="22" t="s">
        <v>57</v>
      </c>
      <c r="E19" s="22">
        <v>2</v>
      </c>
      <c r="F19" s="22" t="s">
        <v>93</v>
      </c>
      <c r="H19" s="45"/>
    </row>
    <row r="20" spans="2:8" x14ac:dyDescent="0.25">
      <c r="H20" s="45"/>
    </row>
    <row r="21" spans="2:8" ht="15.75" customHeight="1" x14ac:dyDescent="0.25"/>
    <row r="22" spans="2:8" ht="15.75" customHeight="1" x14ac:dyDescent="0.25">
      <c r="H22" s="44"/>
    </row>
    <row r="23" spans="2:8" ht="15.75" customHeight="1" x14ac:dyDescent="0.35">
      <c r="B23" s="48" t="s">
        <v>68</v>
      </c>
      <c r="C23" s="49"/>
      <c r="D23" s="49"/>
      <c r="E23" s="49"/>
      <c r="F23" s="49"/>
    </row>
    <row r="24" spans="2:8" ht="15.75" customHeight="1" x14ac:dyDescent="0.25">
      <c r="H24" s="44"/>
    </row>
    <row r="25" spans="2:8" ht="32.25" customHeight="1" x14ac:dyDescent="0.25">
      <c r="B25" s="39" t="s">
        <v>50</v>
      </c>
      <c r="C25" s="39" t="s">
        <v>51</v>
      </c>
      <c r="D25" s="39" t="s">
        <v>52</v>
      </c>
      <c r="E25" s="40" t="s">
        <v>53</v>
      </c>
      <c r="F25" s="39" t="s">
        <v>54</v>
      </c>
    </row>
    <row r="26" spans="2:8" ht="30.75" customHeight="1" x14ac:dyDescent="0.25">
      <c r="B26" s="42" t="s">
        <v>69</v>
      </c>
      <c r="C26" s="42" t="s">
        <v>70</v>
      </c>
      <c r="D26" s="22" t="s">
        <v>57</v>
      </c>
      <c r="E26" s="22">
        <v>4</v>
      </c>
      <c r="F26" s="22" t="s">
        <v>93</v>
      </c>
      <c r="H26" s="44"/>
    </row>
    <row r="27" spans="2:8" ht="28.5" customHeight="1" x14ac:dyDescent="0.25">
      <c r="B27" s="41"/>
      <c r="C27" s="42" t="s">
        <v>71</v>
      </c>
      <c r="D27" s="22" t="s">
        <v>57</v>
      </c>
      <c r="E27" s="43">
        <v>4</v>
      </c>
      <c r="F27" s="22" t="s">
        <v>93</v>
      </c>
    </row>
    <row r="28" spans="2:8" ht="15.75" customHeight="1" x14ac:dyDescent="0.25">
      <c r="B28" s="41"/>
      <c r="C28" s="42" t="s">
        <v>72</v>
      </c>
      <c r="D28" s="22" t="s">
        <v>57</v>
      </c>
      <c r="E28" s="22">
        <v>2</v>
      </c>
      <c r="F28" s="22" t="s">
        <v>93</v>
      </c>
    </row>
    <row r="29" spans="2:8" ht="36.75" customHeight="1" x14ac:dyDescent="0.25">
      <c r="B29" s="41"/>
      <c r="C29" s="42" t="s">
        <v>73</v>
      </c>
      <c r="D29" s="22" t="s">
        <v>57</v>
      </c>
      <c r="E29" s="22">
        <v>4</v>
      </c>
      <c r="F29" s="22" t="s">
        <v>93</v>
      </c>
    </row>
    <row r="30" spans="2:8" ht="15.75" customHeight="1" x14ac:dyDescent="0.25"/>
    <row r="31" spans="2:8" ht="15.75" customHeight="1" x14ac:dyDescent="0.25"/>
    <row r="32" spans="2:8" ht="15.75" customHeight="1" x14ac:dyDescent="0.25"/>
    <row r="33" spans="2:6" ht="15.75" customHeight="1" x14ac:dyDescent="0.35">
      <c r="B33" s="48" t="s">
        <v>74</v>
      </c>
      <c r="C33" s="49"/>
      <c r="D33" s="49"/>
      <c r="E33" s="49"/>
      <c r="F33" s="49"/>
    </row>
    <row r="34" spans="2:6" ht="15.75" customHeight="1" x14ac:dyDescent="0.25"/>
    <row r="35" spans="2:6" ht="32.25" customHeight="1" x14ac:dyDescent="0.25">
      <c r="B35" s="39" t="s">
        <v>50</v>
      </c>
      <c r="C35" s="39" t="s">
        <v>51</v>
      </c>
      <c r="D35" s="39" t="s">
        <v>52</v>
      </c>
      <c r="E35" s="40" t="s">
        <v>53</v>
      </c>
      <c r="F35" s="39" t="s">
        <v>54</v>
      </c>
    </row>
    <row r="36" spans="2:6" ht="30" customHeight="1" x14ac:dyDescent="0.25">
      <c r="B36" s="42" t="s">
        <v>75</v>
      </c>
      <c r="C36" s="42" t="s">
        <v>76</v>
      </c>
      <c r="D36" s="22" t="s">
        <v>57</v>
      </c>
      <c r="E36" s="22">
        <v>2</v>
      </c>
      <c r="F36" s="22" t="s">
        <v>93</v>
      </c>
    </row>
    <row r="37" spans="2:6" ht="30" customHeight="1" x14ac:dyDescent="0.25">
      <c r="B37" s="41"/>
      <c r="C37" s="42" t="s">
        <v>77</v>
      </c>
      <c r="D37" s="22" t="s">
        <v>57</v>
      </c>
      <c r="E37" s="43">
        <v>2</v>
      </c>
      <c r="F37" s="22" t="s">
        <v>93</v>
      </c>
    </row>
    <row r="38" spans="2:6" ht="30" customHeight="1" x14ac:dyDescent="0.25">
      <c r="B38" s="41"/>
      <c r="C38" s="42" t="s">
        <v>78</v>
      </c>
      <c r="D38" s="22" t="s">
        <v>57</v>
      </c>
      <c r="E38" s="22">
        <v>2</v>
      </c>
      <c r="F38" s="22" t="s">
        <v>93</v>
      </c>
    </row>
    <row r="39" spans="2:6" ht="30" customHeight="1" x14ac:dyDescent="0.25">
      <c r="B39" s="41"/>
      <c r="C39" s="42" t="s">
        <v>79</v>
      </c>
      <c r="D39" s="22" t="s">
        <v>57</v>
      </c>
      <c r="E39" s="22">
        <v>2</v>
      </c>
      <c r="F39" s="22" t="s">
        <v>93</v>
      </c>
    </row>
    <row r="40" spans="2:6" ht="15.75" customHeight="1" x14ac:dyDescent="0.25"/>
    <row r="41" spans="2:6" ht="15.75" customHeight="1" x14ac:dyDescent="0.25"/>
    <row r="42" spans="2:6" ht="15.75" customHeight="1" x14ac:dyDescent="0.25"/>
    <row r="43" spans="2:6" ht="15.75" customHeight="1" x14ac:dyDescent="0.35">
      <c r="B43" s="48" t="s">
        <v>80</v>
      </c>
      <c r="C43" s="49"/>
      <c r="D43" s="49"/>
      <c r="E43" s="49"/>
      <c r="F43" s="49"/>
    </row>
    <row r="44" spans="2:6" ht="15.75" customHeight="1" x14ac:dyDescent="0.25"/>
    <row r="45" spans="2:6" ht="27" customHeight="1" x14ac:dyDescent="0.25">
      <c r="B45" s="39" t="s">
        <v>50</v>
      </c>
      <c r="C45" s="39" t="s">
        <v>51</v>
      </c>
      <c r="D45" s="39" t="s">
        <v>52</v>
      </c>
      <c r="E45" s="40" t="s">
        <v>53</v>
      </c>
      <c r="F45" s="39" t="s">
        <v>54</v>
      </c>
    </row>
    <row r="46" spans="2:6" ht="29.25" customHeight="1" x14ac:dyDescent="0.25">
      <c r="B46" s="42" t="s">
        <v>81</v>
      </c>
      <c r="C46" s="42" t="s">
        <v>82</v>
      </c>
      <c r="D46" s="22" t="s">
        <v>57</v>
      </c>
      <c r="E46" s="22">
        <v>1</v>
      </c>
      <c r="F46" s="22" t="s">
        <v>93</v>
      </c>
    </row>
    <row r="47" spans="2:6" ht="29.25" customHeight="1" x14ac:dyDescent="0.25">
      <c r="B47" s="41"/>
      <c r="C47" s="42" t="s">
        <v>83</v>
      </c>
      <c r="D47" s="22" t="s">
        <v>57</v>
      </c>
      <c r="E47" s="43">
        <v>1</v>
      </c>
      <c r="F47" s="22" t="s">
        <v>93</v>
      </c>
    </row>
    <row r="48" spans="2:6" ht="29.25" customHeight="1" x14ac:dyDescent="0.25">
      <c r="B48" s="41"/>
      <c r="C48" s="42" t="s">
        <v>84</v>
      </c>
      <c r="D48" s="22" t="s">
        <v>57</v>
      </c>
      <c r="E48" s="22">
        <v>1</v>
      </c>
      <c r="F48" s="22" t="s">
        <v>93</v>
      </c>
    </row>
    <row r="49" spans="2:6" ht="29.25" customHeight="1" x14ac:dyDescent="0.25">
      <c r="B49" s="41"/>
      <c r="C49" s="42" t="s">
        <v>85</v>
      </c>
      <c r="D49" s="22" t="s">
        <v>57</v>
      </c>
      <c r="E49" s="22">
        <v>1</v>
      </c>
      <c r="F49" s="22" t="s">
        <v>93</v>
      </c>
    </row>
    <row r="50" spans="2:6" ht="15.75" customHeight="1" x14ac:dyDescent="0.25"/>
    <row r="51" spans="2:6" ht="15.75" customHeight="1" x14ac:dyDescent="0.25"/>
    <row r="52" spans="2:6" ht="15.75" customHeight="1" x14ac:dyDescent="0.25"/>
    <row r="53" spans="2:6" ht="15.75" customHeight="1" x14ac:dyDescent="0.35">
      <c r="B53" s="48" t="s">
        <v>86</v>
      </c>
      <c r="C53" s="49"/>
      <c r="D53" s="49"/>
      <c r="E53" s="49"/>
      <c r="F53" s="49"/>
    </row>
    <row r="54" spans="2:6" ht="15.75" customHeight="1" x14ac:dyDescent="0.25"/>
    <row r="55" spans="2:6" ht="25.5" customHeight="1" x14ac:dyDescent="0.25">
      <c r="B55" s="39" t="s">
        <v>50</v>
      </c>
      <c r="C55" s="39" t="s">
        <v>51</v>
      </c>
      <c r="D55" s="39" t="s">
        <v>52</v>
      </c>
      <c r="E55" s="40" t="s">
        <v>53</v>
      </c>
      <c r="F55" s="39" t="s">
        <v>54</v>
      </c>
    </row>
    <row r="56" spans="2:6" ht="30" customHeight="1" x14ac:dyDescent="0.25">
      <c r="B56" s="41" t="s">
        <v>87</v>
      </c>
      <c r="C56" s="42" t="s">
        <v>88</v>
      </c>
      <c r="D56" s="22" t="s">
        <v>57</v>
      </c>
      <c r="E56" s="22">
        <v>1</v>
      </c>
      <c r="F56" s="22" t="s">
        <v>93</v>
      </c>
    </row>
    <row r="57" spans="2:6" ht="30" customHeight="1" x14ac:dyDescent="0.25">
      <c r="B57" s="41"/>
      <c r="C57" s="42" t="s">
        <v>89</v>
      </c>
      <c r="D57" s="22" t="s">
        <v>57</v>
      </c>
      <c r="E57" s="43">
        <v>2</v>
      </c>
      <c r="F57" s="22" t="s">
        <v>93</v>
      </c>
    </row>
    <row r="58" spans="2:6" ht="30" customHeight="1" x14ac:dyDescent="0.25">
      <c r="B58" s="41"/>
      <c r="C58" s="42" t="s">
        <v>90</v>
      </c>
      <c r="D58" s="22" t="s">
        <v>57</v>
      </c>
      <c r="E58" s="22">
        <v>1</v>
      </c>
      <c r="F58" s="22" t="s">
        <v>93</v>
      </c>
    </row>
    <row r="59" spans="2:6" ht="30" customHeight="1" x14ac:dyDescent="0.25">
      <c r="B59" s="41"/>
      <c r="C59" s="42" t="s">
        <v>91</v>
      </c>
      <c r="D59" s="22" t="s">
        <v>57</v>
      </c>
      <c r="E59" s="22">
        <v>1</v>
      </c>
      <c r="F59" s="22" t="s">
        <v>93</v>
      </c>
    </row>
    <row r="60" spans="2:6" ht="30" customHeight="1" x14ac:dyDescent="0.25">
      <c r="B60" s="41"/>
      <c r="C60" s="42" t="s">
        <v>92</v>
      </c>
      <c r="D60" s="22" t="s">
        <v>57</v>
      </c>
      <c r="E60" s="22">
        <v>1</v>
      </c>
      <c r="F60" s="22" t="s">
        <v>93</v>
      </c>
    </row>
    <row r="61" spans="2:6" ht="15.75" customHeight="1" x14ac:dyDescent="0.25"/>
    <row r="62" spans="2:6" ht="15.75" customHeight="1" x14ac:dyDescent="0.25"/>
    <row r="63" spans="2:6" ht="15.75" customHeight="1" x14ac:dyDescent="0.25"/>
    <row r="64" spans="2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B53:F53"/>
    <mergeCell ref="B2:F2"/>
    <mergeCell ref="B13:F13"/>
    <mergeCell ref="B23:F23"/>
    <mergeCell ref="B33:F33"/>
    <mergeCell ref="B43:F43"/>
  </mergeCells>
  <conditionalFormatting sqref="F1:F1000">
    <cfRule type="cellIs" dxfId="2" priority="1" operator="equal">
      <formula>"FALTANTE"</formula>
    </cfRule>
    <cfRule type="cellIs" dxfId="1" priority="2" operator="equal">
      <formula>"PENDIENTE"</formula>
    </cfRule>
    <cfRule type="cellIs" dxfId="0" priority="3" operator="equal">
      <formula>"COMPLETADA"</formula>
    </cfRule>
  </conditionalFormatting>
  <dataValidations count="1">
    <dataValidation type="list" allowBlank="1" showErrorMessage="1" sqref="F36:F39 F46:F49 F16:F19 F26:F29 F5:F9 F56:F60" xr:uid="{00000000-0002-0000-0200-000000000000}">
      <formula1>"FALTANTE,PENDIENTE,COMPLETADA"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Ruta</vt:lpstr>
      <vt:lpstr>Gráfico de Gantt</vt:lpstr>
      <vt:lpstr>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Mario Moya</dc:creator>
  <cp:lastModifiedBy>211896 - KARLA SOFIA GOMEZ TOBAR</cp:lastModifiedBy>
  <dcterms:created xsi:type="dcterms:W3CDTF">2025-02-14T02:02:44Z</dcterms:created>
  <dcterms:modified xsi:type="dcterms:W3CDTF">2025-11-02T00:44:32Z</dcterms:modified>
</cp:coreProperties>
</file>